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Giselle\Desktop\CESTAS\"/>
    </mc:Choice>
  </mc:AlternateContent>
  <xr:revisionPtr revIDLastSave="0" documentId="13_ncr:1_{79672D6D-95CE-4B25-9C24-C03D27A32A1D}" xr6:coauthVersionLast="47" xr6:coauthVersionMax="47" xr10:uidLastSave="{00000000-0000-0000-0000-000000000000}"/>
  <bookViews>
    <workbookView xWindow="-120" yWindow="-120" windowWidth="20730" windowHeight="11040" activeTab="2" xr2:uid="{D34B2367-DC7A-42CC-8702-5EA7E2AEAD50}"/>
  </bookViews>
  <sheets>
    <sheet name="1° trimestre" sheetId="1" r:id="rId1"/>
    <sheet name="Planilha1" sheetId="3" r:id="rId2"/>
    <sheet name="2° trimestre" sheetId="2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K13" i="2" l="1"/>
  <c r="H13" i="2"/>
  <c r="H34" i="3"/>
  <c r="K34" i="3"/>
  <c r="D34" i="3"/>
  <c r="A34" i="3"/>
  <c r="H17" i="3"/>
  <c r="D17" i="3"/>
  <c r="K5" i="3"/>
  <c r="K17" i="3" s="1"/>
  <c r="D13" i="2"/>
  <c r="A13" i="2"/>
  <c r="O16" i="1"/>
  <c r="R16" i="1"/>
  <c r="I35" i="1"/>
  <c r="H35" i="1"/>
  <c r="J35" i="1" s="1"/>
  <c r="H16" i="1"/>
  <c r="K4" i="1"/>
  <c r="K16" i="1" s="1"/>
  <c r="D16" i="1"/>
</calcChain>
</file>

<file path=xl/sharedStrings.xml><?xml version="1.0" encoding="utf-8"?>
<sst xmlns="http://schemas.openxmlformats.org/spreadsheetml/2006/main" count="263" uniqueCount="91">
  <si>
    <t>Quantidade</t>
  </si>
  <si>
    <t>Produto</t>
  </si>
  <si>
    <t>Marca</t>
  </si>
  <si>
    <t>R$</t>
  </si>
  <si>
    <t>Arroz</t>
  </si>
  <si>
    <t>Macarrão</t>
  </si>
  <si>
    <t>Açúcar</t>
  </si>
  <si>
    <t>Gostosin</t>
  </si>
  <si>
    <t>óleo</t>
  </si>
  <si>
    <t>Soya</t>
  </si>
  <si>
    <t xml:space="preserve">Leite </t>
  </si>
  <si>
    <t>Bolacha</t>
  </si>
  <si>
    <t>Molho/extrato</t>
  </si>
  <si>
    <t>Massa bolo</t>
  </si>
  <si>
    <t>Italac</t>
  </si>
  <si>
    <t>Feira Nova</t>
  </si>
  <si>
    <t xml:space="preserve">Farinha </t>
  </si>
  <si>
    <t>Marilan</t>
  </si>
  <si>
    <t>2,39 unid</t>
  </si>
  <si>
    <t>1,18 unid</t>
  </si>
  <si>
    <t>cristal</t>
  </si>
  <si>
    <t>princesa</t>
  </si>
  <si>
    <t>palmeron</t>
  </si>
  <si>
    <t>0,98 unid</t>
  </si>
  <si>
    <t>Trigo</t>
  </si>
  <si>
    <t>Farina</t>
  </si>
  <si>
    <t>Perelac</t>
  </si>
  <si>
    <t xml:space="preserve">Arroz </t>
  </si>
  <si>
    <t>panelaço</t>
  </si>
  <si>
    <t>NF 84625  R$ 401,68</t>
  </si>
  <si>
    <t>NF 108245  R$ 2512,00</t>
  </si>
  <si>
    <t>NF 165496 R$ 194,20</t>
  </si>
  <si>
    <t>Total = 3107,88</t>
  </si>
  <si>
    <t>Sobras:</t>
  </si>
  <si>
    <t xml:space="preserve">Sobras </t>
  </si>
  <si>
    <t xml:space="preserve">FEVEREIRO </t>
  </si>
  <si>
    <t>R$ unit</t>
  </si>
  <si>
    <t xml:space="preserve">MARÇO </t>
  </si>
  <si>
    <t>Disponível</t>
  </si>
  <si>
    <t xml:space="preserve">Fubas </t>
  </si>
  <si>
    <t>Vitamassa</t>
  </si>
  <si>
    <t xml:space="preserve">Sítio Novo </t>
  </si>
  <si>
    <t>Da casa</t>
  </si>
  <si>
    <t>Farinha</t>
  </si>
  <si>
    <t>Feijão</t>
  </si>
  <si>
    <t>Bom sabor</t>
  </si>
  <si>
    <t>Fubas</t>
  </si>
  <si>
    <t>flocão</t>
  </si>
  <si>
    <t>0,78 unid</t>
  </si>
  <si>
    <t xml:space="preserve">Pilar </t>
  </si>
  <si>
    <t>POP</t>
  </si>
  <si>
    <t xml:space="preserve">Macarrão </t>
  </si>
  <si>
    <t>Fuba</t>
  </si>
  <si>
    <t>Molho tomate</t>
  </si>
  <si>
    <t xml:space="preserve">NF136686  R$ 289,68 Luciana - arroz e macarrão </t>
  </si>
  <si>
    <t>NF 45006 R$ 527,76 Luciana - feijão e farinha trigo</t>
  </si>
  <si>
    <t>Luciana</t>
  </si>
  <si>
    <t>Giselle</t>
  </si>
  <si>
    <t>NF 147076 R$ 280,08 -Giselle - molho/macarrão/fuba</t>
  </si>
  <si>
    <t>NF 135875 R$ 93,60 -Giselle - Fuba</t>
  </si>
  <si>
    <t>NF 35689 R$ 163,35 -Giselle -biscoto</t>
  </si>
  <si>
    <t>NF  153899 R$846,96 - Giselle - oleo/macarrão/açúcar</t>
  </si>
  <si>
    <t>NF 86645 r$226,80 -Giselle - farinha mandioca</t>
  </si>
  <si>
    <t>Sacos plástico R$ 68,00</t>
  </si>
  <si>
    <t>ABRIL</t>
  </si>
  <si>
    <t>Marcarrão</t>
  </si>
  <si>
    <t>Óleo</t>
  </si>
  <si>
    <t>NF 7500 R$ 239,04 -Giselle - massa bolo</t>
  </si>
  <si>
    <t>NF 129254 R$ 88,00 -Giselle - Fuba</t>
  </si>
  <si>
    <t>Fortmilho</t>
  </si>
  <si>
    <t>GISELLE</t>
  </si>
  <si>
    <t>LUCIANA</t>
  </si>
  <si>
    <t>Grão minas</t>
  </si>
  <si>
    <t>Bomsabor</t>
  </si>
  <si>
    <t>Kika</t>
  </si>
  <si>
    <t>Novomilho</t>
  </si>
  <si>
    <t>Vitarella</t>
  </si>
  <si>
    <t>Bonsabor</t>
  </si>
  <si>
    <t>Flokão</t>
  </si>
  <si>
    <t xml:space="preserve">MAIO </t>
  </si>
  <si>
    <t>Feijões</t>
  </si>
  <si>
    <t>Molhos</t>
  </si>
  <si>
    <t>açucar</t>
  </si>
  <si>
    <t>massa bolo</t>
  </si>
  <si>
    <t>trigo</t>
  </si>
  <si>
    <t xml:space="preserve">NF 59282 </t>
  </si>
  <si>
    <t>NF23731</t>
  </si>
  <si>
    <t>MAIO</t>
  </si>
  <si>
    <t>Italak</t>
  </si>
  <si>
    <t xml:space="preserve">JUNHO </t>
  </si>
  <si>
    <t>Comprado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</si>
</sst>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rgb="FFFF0000"/>
      <name val="Aptos Narrow"/>
      <family val="2"/>
      <scheme val="minor"/>
    </font>
    <font>
      <b/>
      <sz val="11"/>
      <color rgb="FFFF0000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7">
    <xf numFmtId="0" fontId="0" fillId="0" borderId="0" xfId="0"/>
    <xf numFmtId="0" fontId="1" fillId="2" borderId="1" xfId="0" applyFont="1" applyFill="1" applyBorder="1" applyAlignment="1">
      <alignment horizontal="center"/>
    </xf>
    <xf numFmtId="0" fontId="0" fillId="0" borderId="1" xfId="0" applyBorder="1"/>
    <xf numFmtId="0" fontId="1" fillId="2" borderId="1" xfId="0" applyFont="1" applyFill="1" applyBorder="1"/>
    <xf numFmtId="2" fontId="0" fillId="0" borderId="0" xfId="0" applyNumberFormat="1"/>
    <xf numFmtId="0" fontId="0" fillId="3" borderId="0" xfId="0" applyFill="1"/>
    <xf numFmtId="0" fontId="2" fillId="0" borderId="1" xfId="0" applyFont="1" applyBorder="1"/>
    <xf numFmtId="0" fontId="2" fillId="0" borderId="1" xfId="0" applyFont="1" applyBorder="1" applyAlignment="1">
      <alignment horizontal="center"/>
    </xf>
    <xf numFmtId="0" fontId="0" fillId="2" borderId="1" xfId="0" applyFill="1" applyBorder="1"/>
    <xf numFmtId="0" fontId="2" fillId="2" borderId="1" xfId="0" applyFont="1" applyFill="1" applyBorder="1" applyAlignment="1">
      <alignment horizontal="center"/>
    </xf>
    <xf numFmtId="0" fontId="1" fillId="0" borderId="0" xfId="0" applyFont="1"/>
    <xf numFmtId="0" fontId="1" fillId="3" borderId="1" xfId="0" applyFont="1" applyFill="1" applyBorder="1" applyAlignment="1">
      <alignment horizontal="center"/>
    </xf>
    <xf numFmtId="0" fontId="1" fillId="2" borderId="0" xfId="0" applyFont="1" applyFill="1" applyAlignment="1">
      <alignment horizontal="center"/>
    </xf>
    <xf numFmtId="0" fontId="0" fillId="2" borderId="0" xfId="0" applyFill="1"/>
    <xf numFmtId="0" fontId="2" fillId="3" borderId="1" xfId="0" applyFont="1" applyFill="1" applyBorder="1" applyAlignment="1">
      <alignment horizontal="left"/>
    </xf>
    <xf numFmtId="0" fontId="2" fillId="0" borderId="0" xfId="0" applyFont="1"/>
    <xf numFmtId="0" fontId="2" fillId="3" borderId="1" xfId="0" applyFont="1" applyFill="1" applyBorder="1" applyAlignment="1">
      <alignment horizontal="center"/>
    </xf>
    <xf numFmtId="0" fontId="2" fillId="3" borderId="1" xfId="0" applyFont="1" applyFill="1" applyBorder="1" applyAlignment="1">
      <alignment horizontal="right"/>
    </xf>
    <xf numFmtId="0" fontId="2" fillId="0" borderId="1" xfId="0" applyFont="1" applyBorder="1" applyAlignment="1">
      <alignment horizontal="right"/>
    </xf>
    <xf numFmtId="0" fontId="3" fillId="0" borderId="1" xfId="0" applyFont="1" applyBorder="1" applyAlignment="1">
      <alignment horizontal="center"/>
    </xf>
    <xf numFmtId="0" fontId="3" fillId="0" borderId="1" xfId="0" applyFont="1" applyBorder="1"/>
    <xf numFmtId="0" fontId="3" fillId="0" borderId="1" xfId="0" applyFont="1" applyBorder="1" applyAlignment="1">
      <alignment horizontal="right"/>
    </xf>
    <xf numFmtId="0" fontId="1" fillId="0" borderId="1" xfId="0" applyFont="1" applyBorder="1"/>
    <xf numFmtId="0" fontId="1" fillId="3" borderId="0" xfId="0" applyFont="1" applyFill="1" applyAlignment="1">
      <alignment horizontal="center"/>
    </xf>
    <xf numFmtId="16" fontId="2" fillId="0" borderId="1" xfId="0" applyNumberFormat="1" applyFont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2" fillId="0" borderId="0" xfId="0" applyFont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B61223-FF30-4408-B9F6-F91ADCBCDB0D}">
  <sheetPr>
    <pageSetUpPr fitToPage="1"/>
  </sheetPr>
  <dimension ref="A1:T35"/>
  <sheetViews>
    <sheetView workbookViewId="0">
      <selection sqref="A1:T16"/>
    </sheetView>
  </sheetViews>
  <sheetFormatPr defaultRowHeight="15" x14ac:dyDescent="0.25"/>
  <cols>
    <col min="1" max="1" width="11.140625" customWidth="1"/>
    <col min="2" max="2" width="12.5703125" customWidth="1"/>
    <col min="3" max="3" width="10.140625" customWidth="1"/>
    <col min="4" max="4" width="6.5703125" customWidth="1"/>
    <col min="5" max="5" width="8.5703125" customWidth="1"/>
    <col min="6" max="6" width="6.85546875" customWidth="1"/>
    <col min="7" max="7" width="4" customWidth="1"/>
    <col min="8" max="8" width="10.5703125" customWidth="1"/>
    <col min="9" max="9" width="12.7109375" customWidth="1"/>
    <col min="10" max="10" width="10" customWidth="1"/>
    <col min="11" max="11" width="6.28515625" customWidth="1"/>
    <col min="12" max="12" width="7.140625" customWidth="1"/>
    <col min="13" max="13" width="9.85546875" customWidth="1"/>
    <col min="14" max="14" width="4.28515625" customWidth="1"/>
    <col min="15" max="15" width="10" customWidth="1"/>
    <col min="16" max="16" width="14" customWidth="1"/>
    <col min="17" max="17" width="10.42578125" customWidth="1"/>
  </cols>
  <sheetData>
    <row r="1" spans="1:20" x14ac:dyDescent="0.25">
      <c r="B1" s="10" t="s">
        <v>35</v>
      </c>
      <c r="I1" s="10" t="s">
        <v>37</v>
      </c>
      <c r="P1" s="10" t="s">
        <v>64</v>
      </c>
    </row>
    <row r="2" spans="1:20" x14ac:dyDescent="0.25">
      <c r="A2" s="1" t="s">
        <v>0</v>
      </c>
      <c r="B2" s="1" t="s">
        <v>1</v>
      </c>
      <c r="C2" s="1" t="s">
        <v>2</v>
      </c>
      <c r="D2" s="1" t="s">
        <v>3</v>
      </c>
      <c r="E2" s="1" t="s">
        <v>36</v>
      </c>
      <c r="F2" s="1" t="s">
        <v>34</v>
      </c>
      <c r="H2" s="1" t="s">
        <v>0</v>
      </c>
      <c r="I2" s="1" t="s">
        <v>1</v>
      </c>
      <c r="J2" s="1" t="s">
        <v>2</v>
      </c>
      <c r="K2" s="1" t="s">
        <v>3</v>
      </c>
      <c r="L2" s="1" t="s">
        <v>36</v>
      </c>
      <c r="M2" s="1" t="s">
        <v>38</v>
      </c>
      <c r="O2" s="1" t="s">
        <v>0</v>
      </c>
      <c r="P2" s="1" t="s">
        <v>1</v>
      </c>
      <c r="Q2" s="1" t="s">
        <v>2</v>
      </c>
      <c r="R2" s="1" t="s">
        <v>3</v>
      </c>
      <c r="S2" s="1" t="s">
        <v>36</v>
      </c>
      <c r="T2" s="1" t="s">
        <v>34</v>
      </c>
    </row>
    <row r="3" spans="1:20" x14ac:dyDescent="0.25">
      <c r="A3" s="7">
        <v>1</v>
      </c>
      <c r="B3" s="6" t="s">
        <v>44</v>
      </c>
      <c r="C3" s="6" t="s">
        <v>42</v>
      </c>
      <c r="D3" s="6">
        <v>5.98</v>
      </c>
      <c r="E3" s="11"/>
      <c r="F3" s="11"/>
      <c r="G3" s="5"/>
      <c r="H3" s="7">
        <v>1</v>
      </c>
      <c r="I3" s="6" t="s">
        <v>44</v>
      </c>
      <c r="J3" s="6" t="s">
        <v>42</v>
      </c>
      <c r="K3" s="6">
        <v>5.58</v>
      </c>
      <c r="L3" s="11"/>
      <c r="M3" s="7">
        <v>60</v>
      </c>
      <c r="N3" s="5"/>
      <c r="O3" s="16">
        <v>1</v>
      </c>
      <c r="P3" s="14" t="s">
        <v>44</v>
      </c>
      <c r="Q3" s="16" t="s">
        <v>72</v>
      </c>
      <c r="R3" s="17">
        <v>5.58</v>
      </c>
      <c r="S3" s="11"/>
      <c r="T3" s="16">
        <v>53</v>
      </c>
    </row>
    <row r="4" spans="1:20" x14ac:dyDescent="0.25">
      <c r="A4" s="7">
        <v>1</v>
      </c>
      <c r="B4" s="6" t="s">
        <v>4</v>
      </c>
      <c r="C4" s="6" t="s">
        <v>21</v>
      </c>
      <c r="D4" s="6">
        <v>2.68</v>
      </c>
      <c r="E4" s="2"/>
      <c r="F4" s="7">
        <v>4</v>
      </c>
      <c r="H4" s="7">
        <v>2</v>
      </c>
      <c r="I4" s="6" t="s">
        <v>51</v>
      </c>
      <c r="J4" s="6" t="s">
        <v>45</v>
      </c>
      <c r="K4" s="6">
        <f>L4*H4</f>
        <v>3.96</v>
      </c>
      <c r="L4" s="6">
        <v>1.98</v>
      </c>
      <c r="M4" s="7">
        <v>56</v>
      </c>
      <c r="O4" s="19">
        <v>1</v>
      </c>
      <c r="P4" s="20" t="s">
        <v>65</v>
      </c>
      <c r="Q4" s="20" t="s">
        <v>73</v>
      </c>
      <c r="R4" s="21">
        <v>2.2799999999999998</v>
      </c>
      <c r="S4" s="22"/>
      <c r="T4" s="19">
        <v>58</v>
      </c>
    </row>
    <row r="5" spans="1:20" x14ac:dyDescent="0.25">
      <c r="A5" s="7">
        <v>1</v>
      </c>
      <c r="B5" s="6" t="s">
        <v>27</v>
      </c>
      <c r="C5" s="6" t="s">
        <v>28</v>
      </c>
      <c r="D5" s="6">
        <v>2.58</v>
      </c>
      <c r="E5" s="2"/>
      <c r="F5" s="7"/>
      <c r="H5" s="7">
        <v>1</v>
      </c>
      <c r="I5" s="6" t="s">
        <v>27</v>
      </c>
      <c r="J5" s="6" t="s">
        <v>50</v>
      </c>
      <c r="K5" s="6">
        <v>2.98</v>
      </c>
      <c r="L5" s="2"/>
      <c r="M5" s="7">
        <v>60</v>
      </c>
      <c r="O5" s="19">
        <v>1</v>
      </c>
      <c r="P5" s="20" t="s">
        <v>5</v>
      </c>
      <c r="Q5" s="20" t="s">
        <v>76</v>
      </c>
      <c r="R5" s="20">
        <v>2.2799999999999998</v>
      </c>
      <c r="S5" s="22"/>
      <c r="T5" s="19">
        <v>28</v>
      </c>
    </row>
    <row r="6" spans="1:20" x14ac:dyDescent="0.25">
      <c r="A6" s="7">
        <v>2</v>
      </c>
      <c r="B6" s="6" t="s">
        <v>5</v>
      </c>
      <c r="C6" s="6" t="s">
        <v>45</v>
      </c>
      <c r="D6" s="6">
        <v>4.78</v>
      </c>
      <c r="E6" s="6" t="s">
        <v>18</v>
      </c>
      <c r="F6" s="7">
        <v>3</v>
      </c>
      <c r="H6" s="7">
        <v>1</v>
      </c>
      <c r="I6" s="6" t="s">
        <v>5</v>
      </c>
      <c r="J6" s="6" t="s">
        <v>40</v>
      </c>
      <c r="K6" s="6">
        <v>3.38</v>
      </c>
      <c r="L6" s="6"/>
      <c r="M6" s="7">
        <v>72</v>
      </c>
      <c r="O6" s="19">
        <v>1</v>
      </c>
      <c r="P6" s="20" t="s">
        <v>51</v>
      </c>
      <c r="Q6" s="20"/>
      <c r="R6" s="21">
        <v>1.98</v>
      </c>
      <c r="S6" s="22"/>
      <c r="T6" s="19">
        <v>72</v>
      </c>
    </row>
    <row r="7" spans="1:20" x14ac:dyDescent="0.25">
      <c r="A7" s="7">
        <v>1</v>
      </c>
      <c r="B7" s="6" t="s">
        <v>6</v>
      </c>
      <c r="C7" s="6" t="s">
        <v>20</v>
      </c>
      <c r="D7" s="6">
        <v>2.68</v>
      </c>
      <c r="E7" s="6"/>
      <c r="F7" s="7">
        <v>5</v>
      </c>
      <c r="H7" s="7">
        <v>1</v>
      </c>
      <c r="I7" s="6" t="s">
        <v>6</v>
      </c>
      <c r="J7" s="6" t="s">
        <v>20</v>
      </c>
      <c r="K7" s="6">
        <v>2.76</v>
      </c>
      <c r="L7" s="6"/>
      <c r="M7" s="7">
        <v>60</v>
      </c>
      <c r="O7" s="7">
        <v>1</v>
      </c>
      <c r="P7" s="15" t="s">
        <v>4</v>
      </c>
      <c r="Q7" s="6" t="s">
        <v>74</v>
      </c>
      <c r="R7" s="18">
        <v>2.98</v>
      </c>
      <c r="S7" s="2"/>
      <c r="T7" s="7">
        <v>50</v>
      </c>
    </row>
    <row r="8" spans="1:20" x14ac:dyDescent="0.25">
      <c r="A8" s="7">
        <v>2</v>
      </c>
      <c r="B8" s="6" t="s">
        <v>46</v>
      </c>
      <c r="C8" s="6" t="s">
        <v>7</v>
      </c>
      <c r="D8" s="6">
        <v>2.36</v>
      </c>
      <c r="E8" s="6" t="s">
        <v>19</v>
      </c>
      <c r="F8" s="7">
        <v>9</v>
      </c>
      <c r="H8" s="7">
        <v>2</v>
      </c>
      <c r="I8" s="6" t="s">
        <v>39</v>
      </c>
      <c r="J8" s="6" t="s">
        <v>47</v>
      </c>
      <c r="K8" s="6">
        <v>1.56</v>
      </c>
      <c r="L8" s="6" t="s">
        <v>48</v>
      </c>
      <c r="M8" s="7">
        <v>120</v>
      </c>
      <c r="O8" s="19">
        <v>2</v>
      </c>
      <c r="P8" s="20" t="s">
        <v>52</v>
      </c>
      <c r="Q8" s="20" t="s">
        <v>69</v>
      </c>
      <c r="R8" s="20">
        <v>1.76</v>
      </c>
      <c r="S8" s="20">
        <v>0.88</v>
      </c>
      <c r="T8" s="19">
        <v>120</v>
      </c>
    </row>
    <row r="9" spans="1:20" x14ac:dyDescent="0.25">
      <c r="A9" s="7">
        <v>1</v>
      </c>
      <c r="B9" s="6" t="s">
        <v>10</v>
      </c>
      <c r="C9" s="6" t="s">
        <v>26</v>
      </c>
      <c r="D9" s="6">
        <v>3.98</v>
      </c>
      <c r="E9" s="2"/>
      <c r="F9" s="7">
        <v>1</v>
      </c>
      <c r="H9" s="7">
        <v>1</v>
      </c>
      <c r="I9" s="6" t="s">
        <v>52</v>
      </c>
      <c r="J9" s="6"/>
      <c r="K9" s="6">
        <v>0.95</v>
      </c>
      <c r="L9" s="2"/>
      <c r="M9" s="7">
        <v>60</v>
      </c>
      <c r="O9" s="19">
        <v>1</v>
      </c>
      <c r="P9" s="20" t="s">
        <v>52</v>
      </c>
      <c r="Q9" s="20" t="s">
        <v>75</v>
      </c>
      <c r="R9" s="20">
        <v>1.39</v>
      </c>
      <c r="S9" s="20"/>
      <c r="T9" s="19">
        <v>30</v>
      </c>
    </row>
    <row r="10" spans="1:20" x14ac:dyDescent="0.25">
      <c r="A10" s="7">
        <v>1</v>
      </c>
      <c r="B10" s="6" t="s">
        <v>11</v>
      </c>
      <c r="C10" s="6" t="s">
        <v>17</v>
      </c>
      <c r="D10" s="6">
        <v>2.98</v>
      </c>
      <c r="E10" s="2"/>
      <c r="F10" s="7">
        <v>5</v>
      </c>
      <c r="H10" s="7">
        <v>1</v>
      </c>
      <c r="I10" s="6" t="s">
        <v>11</v>
      </c>
      <c r="J10" s="6" t="s">
        <v>49</v>
      </c>
      <c r="K10" s="6">
        <v>2.97</v>
      </c>
      <c r="L10" s="2"/>
      <c r="M10" s="7">
        <v>60</v>
      </c>
      <c r="O10" s="7">
        <v>1</v>
      </c>
      <c r="P10" s="6" t="s">
        <v>11</v>
      </c>
      <c r="Q10" s="6"/>
      <c r="R10" s="6">
        <v>3.98</v>
      </c>
      <c r="S10" s="6"/>
      <c r="T10" s="7">
        <v>52</v>
      </c>
    </row>
    <row r="11" spans="1:20" x14ac:dyDescent="0.25">
      <c r="A11" s="7">
        <v>2</v>
      </c>
      <c r="B11" s="6" t="s">
        <v>12</v>
      </c>
      <c r="C11" s="6" t="s">
        <v>22</v>
      </c>
      <c r="D11" s="6">
        <v>1.96</v>
      </c>
      <c r="E11" s="6" t="s">
        <v>23</v>
      </c>
      <c r="F11" s="7">
        <v>7</v>
      </c>
      <c r="H11" s="7">
        <v>2</v>
      </c>
      <c r="I11" s="6" t="s">
        <v>53</v>
      </c>
      <c r="J11" s="6"/>
      <c r="K11" s="6">
        <v>2.76</v>
      </c>
      <c r="L11" s="6">
        <v>1.38</v>
      </c>
      <c r="M11" s="7"/>
      <c r="O11" s="7">
        <v>2</v>
      </c>
      <c r="P11" s="6" t="s">
        <v>53</v>
      </c>
      <c r="Q11" s="6"/>
      <c r="R11" s="6">
        <v>2.76</v>
      </c>
      <c r="S11" s="6">
        <v>1.38</v>
      </c>
      <c r="T11" s="7">
        <v>93</v>
      </c>
    </row>
    <row r="12" spans="1:20" x14ac:dyDescent="0.25">
      <c r="A12" s="7">
        <v>1</v>
      </c>
      <c r="B12" s="6" t="s">
        <v>13</v>
      </c>
      <c r="C12" s="6" t="s">
        <v>14</v>
      </c>
      <c r="D12" s="6">
        <v>5.48</v>
      </c>
      <c r="E12" s="2"/>
      <c r="F12" s="7">
        <v>57</v>
      </c>
      <c r="H12" s="7">
        <v>1</v>
      </c>
      <c r="I12" s="6" t="s">
        <v>13</v>
      </c>
      <c r="J12" s="6" t="s">
        <v>14</v>
      </c>
      <c r="K12" s="6">
        <v>5.48</v>
      </c>
      <c r="L12" s="2"/>
      <c r="M12" s="7">
        <v>57</v>
      </c>
      <c r="O12" s="7">
        <v>1</v>
      </c>
      <c r="P12" s="6" t="s">
        <v>13</v>
      </c>
      <c r="Q12" s="6"/>
      <c r="R12" s="6">
        <v>4.9800000000000004</v>
      </c>
      <c r="S12" s="6"/>
      <c r="T12" s="7">
        <v>48</v>
      </c>
    </row>
    <row r="13" spans="1:20" x14ac:dyDescent="0.25">
      <c r="A13" s="7">
        <v>1</v>
      </c>
      <c r="B13" s="6" t="s">
        <v>16</v>
      </c>
      <c r="C13" s="6" t="s">
        <v>15</v>
      </c>
      <c r="D13" s="6">
        <v>3.98</v>
      </c>
      <c r="E13" s="2"/>
      <c r="F13" s="7">
        <v>5</v>
      </c>
      <c r="H13" s="7">
        <v>1</v>
      </c>
      <c r="I13" s="6" t="s">
        <v>16</v>
      </c>
      <c r="J13" s="6" t="s">
        <v>41</v>
      </c>
      <c r="K13" s="6">
        <v>3.78</v>
      </c>
      <c r="L13" s="2"/>
      <c r="M13" s="7">
        <v>60</v>
      </c>
      <c r="O13" s="7">
        <v>1</v>
      </c>
      <c r="P13" s="6" t="s">
        <v>43</v>
      </c>
      <c r="Q13" s="2"/>
      <c r="R13" s="6">
        <v>3.78</v>
      </c>
      <c r="S13" s="2"/>
      <c r="T13" s="7">
        <v>45</v>
      </c>
    </row>
    <row r="14" spans="1:20" x14ac:dyDescent="0.25">
      <c r="A14" s="7">
        <v>1</v>
      </c>
      <c r="B14" s="6" t="s">
        <v>24</v>
      </c>
      <c r="C14" s="6" t="s">
        <v>25</v>
      </c>
      <c r="D14" s="6">
        <v>2.98</v>
      </c>
      <c r="E14" s="2"/>
      <c r="F14" s="7">
        <v>6</v>
      </c>
      <c r="H14" s="7">
        <v>1</v>
      </c>
      <c r="I14" s="6" t="s">
        <v>24</v>
      </c>
      <c r="J14" s="6" t="s">
        <v>43</v>
      </c>
      <c r="K14" s="6">
        <v>2.95</v>
      </c>
      <c r="L14" s="2"/>
      <c r="M14" s="7"/>
      <c r="O14" s="7">
        <v>1</v>
      </c>
      <c r="P14" s="6" t="s">
        <v>6</v>
      </c>
      <c r="Q14" s="6"/>
      <c r="R14" s="6">
        <v>2.75</v>
      </c>
      <c r="S14" s="2"/>
      <c r="T14" s="7">
        <v>50</v>
      </c>
    </row>
    <row r="15" spans="1:20" x14ac:dyDescent="0.25">
      <c r="A15" s="7">
        <v>1</v>
      </c>
      <c r="B15" s="6" t="s">
        <v>8</v>
      </c>
      <c r="C15" s="6" t="s">
        <v>9</v>
      </c>
      <c r="D15" s="6">
        <v>7.28</v>
      </c>
      <c r="E15" s="2"/>
      <c r="F15" s="7">
        <v>5</v>
      </c>
      <c r="H15" s="7">
        <v>1</v>
      </c>
      <c r="I15" s="6" t="s">
        <v>8</v>
      </c>
      <c r="J15" s="6" t="s">
        <v>9</v>
      </c>
      <c r="K15" s="6">
        <v>7.28</v>
      </c>
      <c r="L15" s="2"/>
      <c r="M15" s="7">
        <v>60</v>
      </c>
      <c r="O15" s="7">
        <v>1</v>
      </c>
      <c r="P15" s="6" t="s">
        <v>66</v>
      </c>
      <c r="Q15" s="6"/>
      <c r="R15" s="6">
        <v>7.28</v>
      </c>
      <c r="S15" s="2"/>
      <c r="T15" s="7">
        <v>48</v>
      </c>
    </row>
    <row r="16" spans="1:20" x14ac:dyDescent="0.25">
      <c r="A16" s="1">
        <v>16</v>
      </c>
      <c r="B16" s="3"/>
      <c r="C16" s="3"/>
      <c r="D16" s="3">
        <f>SUM(D3:D15)</f>
        <v>49.699999999999996</v>
      </c>
      <c r="E16" s="8"/>
      <c r="F16" s="9"/>
      <c r="H16" s="1">
        <f>SUM(H3:H15)</f>
        <v>16</v>
      </c>
      <c r="I16" s="3"/>
      <c r="J16" s="3"/>
      <c r="K16" s="3">
        <f>SUM(K3:K15)</f>
        <v>46.39</v>
      </c>
      <c r="L16" s="8"/>
      <c r="M16" s="9"/>
      <c r="O16" s="1">
        <f>SUM(O3:O15)</f>
        <v>15</v>
      </c>
      <c r="P16" s="8"/>
      <c r="Q16" s="8"/>
      <c r="R16" s="3">
        <f>SUM(R3:R15)</f>
        <v>43.78</v>
      </c>
      <c r="S16" s="8"/>
      <c r="T16" s="8"/>
    </row>
    <row r="17" spans="2:16" x14ac:dyDescent="0.25">
      <c r="H17" s="10" t="s">
        <v>71</v>
      </c>
    </row>
    <row r="18" spans="2:16" x14ac:dyDescent="0.25">
      <c r="H18" t="s">
        <v>54</v>
      </c>
    </row>
    <row r="19" spans="2:16" x14ac:dyDescent="0.25">
      <c r="B19" t="s">
        <v>30</v>
      </c>
      <c r="H19" t="s">
        <v>55</v>
      </c>
    </row>
    <row r="20" spans="2:16" x14ac:dyDescent="0.25">
      <c r="B20" t="s">
        <v>29</v>
      </c>
      <c r="H20" s="10" t="s">
        <v>70</v>
      </c>
      <c r="P20" s="10" t="s">
        <v>70</v>
      </c>
    </row>
    <row r="21" spans="2:16" x14ac:dyDescent="0.25">
      <c r="B21" t="s">
        <v>31</v>
      </c>
      <c r="H21" t="s">
        <v>58</v>
      </c>
      <c r="P21" t="s">
        <v>67</v>
      </c>
    </row>
    <row r="22" spans="2:16" x14ac:dyDescent="0.25">
      <c r="B22" t="s">
        <v>32</v>
      </c>
      <c r="H22" t="s">
        <v>59</v>
      </c>
      <c r="P22" t="s">
        <v>68</v>
      </c>
    </row>
    <row r="23" spans="2:16" x14ac:dyDescent="0.25">
      <c r="B23" t="s">
        <v>33</v>
      </c>
      <c r="D23" s="4"/>
      <c r="H23" t="s">
        <v>60</v>
      </c>
    </row>
    <row r="24" spans="2:16" x14ac:dyDescent="0.25">
      <c r="H24" t="s">
        <v>61</v>
      </c>
    </row>
    <row r="25" spans="2:16" x14ac:dyDescent="0.25">
      <c r="H25" t="s">
        <v>62</v>
      </c>
    </row>
    <row r="26" spans="2:16" x14ac:dyDescent="0.25">
      <c r="H26" t="s">
        <v>63</v>
      </c>
    </row>
    <row r="28" spans="2:16" x14ac:dyDescent="0.25">
      <c r="H28" s="12" t="s">
        <v>56</v>
      </c>
      <c r="I28" s="12" t="s">
        <v>57</v>
      </c>
    </row>
    <row r="29" spans="2:16" x14ac:dyDescent="0.25">
      <c r="H29" s="2">
        <v>289.68</v>
      </c>
      <c r="I29" s="2">
        <v>280.08</v>
      </c>
    </row>
    <row r="30" spans="2:16" x14ac:dyDescent="0.25">
      <c r="H30" s="2">
        <v>527.76</v>
      </c>
      <c r="I30" s="2">
        <v>93.6</v>
      </c>
    </row>
    <row r="31" spans="2:16" x14ac:dyDescent="0.25">
      <c r="H31" s="2"/>
      <c r="I31" s="2">
        <v>163.35</v>
      </c>
    </row>
    <row r="32" spans="2:16" x14ac:dyDescent="0.25">
      <c r="H32" s="2"/>
      <c r="I32" s="2">
        <v>846.96</v>
      </c>
    </row>
    <row r="33" spans="8:10" x14ac:dyDescent="0.25">
      <c r="H33" s="2"/>
      <c r="I33" s="2">
        <v>226.8</v>
      </c>
    </row>
    <row r="34" spans="8:10" x14ac:dyDescent="0.25">
      <c r="H34" s="2"/>
      <c r="I34" s="2">
        <v>68</v>
      </c>
    </row>
    <row r="35" spans="8:10" x14ac:dyDescent="0.25">
      <c r="H35" s="2">
        <f>SUM(H29:H34)</f>
        <v>817.44</v>
      </c>
      <c r="I35" s="2">
        <f>SUM(I29:I34)</f>
        <v>1678.79</v>
      </c>
      <c r="J35" s="13">
        <f>SUM(H35:I35)</f>
        <v>2496.23</v>
      </c>
    </row>
  </sheetData>
  <pageMargins left="0.511811024" right="0.511811024" top="0.78740157499999996" bottom="0.78740157499999996" header="0.31496062000000002" footer="0.31496062000000002"/>
  <pageSetup paperSize="9" scale="76" fitToHeight="0" orientation="landscape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BE1B62-E184-4396-91DD-ADE752AD91C7}">
  <sheetPr>
    <pageSetUpPr fitToPage="1"/>
  </sheetPr>
  <dimension ref="A2:N37"/>
  <sheetViews>
    <sheetView workbookViewId="0">
      <selection activeCell="Q31" sqref="Q31"/>
    </sheetView>
  </sheetViews>
  <sheetFormatPr defaultRowHeight="15" x14ac:dyDescent="0.25"/>
  <cols>
    <col min="1" max="1" width="10.85546875" customWidth="1"/>
    <col min="2" max="2" width="11.28515625" customWidth="1"/>
    <col min="3" max="3" width="10.7109375" customWidth="1"/>
    <col min="8" max="8" width="11" customWidth="1"/>
    <col min="9" max="9" width="14" customWidth="1"/>
    <col min="10" max="10" width="11.42578125" customWidth="1"/>
  </cols>
  <sheetData>
    <row r="2" spans="1:14" x14ac:dyDescent="0.25">
      <c r="B2" s="10" t="s">
        <v>35</v>
      </c>
      <c r="I2" s="10" t="s">
        <v>37</v>
      </c>
    </row>
    <row r="3" spans="1:14" x14ac:dyDescent="0.25">
      <c r="A3" s="1" t="s">
        <v>0</v>
      </c>
      <c r="B3" s="1" t="s">
        <v>1</v>
      </c>
      <c r="C3" s="1" t="s">
        <v>2</v>
      </c>
      <c r="D3" s="1" t="s">
        <v>3</v>
      </c>
      <c r="E3" s="1" t="s">
        <v>36</v>
      </c>
      <c r="F3" s="1" t="s">
        <v>34</v>
      </c>
      <c r="H3" s="1" t="s">
        <v>0</v>
      </c>
      <c r="I3" s="1" t="s">
        <v>1</v>
      </c>
      <c r="J3" s="1" t="s">
        <v>2</v>
      </c>
      <c r="K3" s="1" t="s">
        <v>3</v>
      </c>
      <c r="L3" s="1" t="s">
        <v>36</v>
      </c>
      <c r="M3" s="1" t="s">
        <v>38</v>
      </c>
    </row>
    <row r="4" spans="1:14" x14ac:dyDescent="0.25">
      <c r="A4" s="7">
        <v>1</v>
      </c>
      <c r="B4" s="6" t="s">
        <v>44</v>
      </c>
      <c r="C4" s="6" t="s">
        <v>42</v>
      </c>
      <c r="D4" s="6">
        <v>5.98</v>
      </c>
      <c r="E4" s="11"/>
      <c r="F4" s="11"/>
      <c r="G4" s="5"/>
      <c r="H4" s="7">
        <v>1</v>
      </c>
      <c r="I4" s="6" t="s">
        <v>44</v>
      </c>
      <c r="J4" s="6" t="s">
        <v>42</v>
      </c>
      <c r="K4" s="6">
        <v>5.58</v>
      </c>
      <c r="L4" s="11"/>
      <c r="M4" s="7">
        <v>60</v>
      </c>
      <c r="N4" s="5"/>
    </row>
    <row r="5" spans="1:14" x14ac:dyDescent="0.25">
      <c r="A5" s="7">
        <v>1</v>
      </c>
      <c r="B5" s="6" t="s">
        <v>4</v>
      </c>
      <c r="C5" s="6" t="s">
        <v>21</v>
      </c>
      <c r="D5" s="6">
        <v>2.68</v>
      </c>
      <c r="E5" s="2"/>
      <c r="F5" s="7">
        <v>4</v>
      </c>
      <c r="H5" s="7">
        <v>2</v>
      </c>
      <c r="I5" s="6" t="s">
        <v>51</v>
      </c>
      <c r="J5" s="6" t="s">
        <v>45</v>
      </c>
      <c r="K5" s="6">
        <f>L5*H5</f>
        <v>3.96</v>
      </c>
      <c r="L5" s="6">
        <v>1.98</v>
      </c>
      <c r="M5" s="7">
        <v>56</v>
      </c>
    </row>
    <row r="6" spans="1:14" x14ac:dyDescent="0.25">
      <c r="A6" s="7">
        <v>1</v>
      </c>
      <c r="B6" s="6" t="s">
        <v>27</v>
      </c>
      <c r="C6" s="6" t="s">
        <v>28</v>
      </c>
      <c r="D6" s="6">
        <v>2.58</v>
      </c>
      <c r="E6" s="2"/>
      <c r="F6" s="7"/>
      <c r="H6" s="7">
        <v>1</v>
      </c>
      <c r="I6" s="6" t="s">
        <v>27</v>
      </c>
      <c r="J6" s="6" t="s">
        <v>50</v>
      </c>
      <c r="K6" s="6">
        <v>2.98</v>
      </c>
      <c r="L6" s="2"/>
      <c r="M6" s="7">
        <v>60</v>
      </c>
    </row>
    <row r="7" spans="1:14" x14ac:dyDescent="0.25">
      <c r="A7" s="7">
        <v>2</v>
      </c>
      <c r="B7" s="6" t="s">
        <v>5</v>
      </c>
      <c r="C7" s="6" t="s">
        <v>45</v>
      </c>
      <c r="D7" s="6">
        <v>4.78</v>
      </c>
      <c r="E7" s="6" t="s">
        <v>18</v>
      </c>
      <c r="F7" s="7">
        <v>3</v>
      </c>
      <c r="H7" s="7">
        <v>1</v>
      </c>
      <c r="I7" s="6" t="s">
        <v>5</v>
      </c>
      <c r="J7" s="6" t="s">
        <v>40</v>
      </c>
      <c r="K7" s="6">
        <v>3.38</v>
      </c>
      <c r="L7" s="6"/>
      <c r="M7" s="7">
        <v>72</v>
      </c>
    </row>
    <row r="8" spans="1:14" x14ac:dyDescent="0.25">
      <c r="A8" s="7">
        <v>1</v>
      </c>
      <c r="B8" s="6" t="s">
        <v>6</v>
      </c>
      <c r="C8" s="6" t="s">
        <v>20</v>
      </c>
      <c r="D8" s="6">
        <v>2.68</v>
      </c>
      <c r="E8" s="6"/>
      <c r="F8" s="7">
        <v>5</v>
      </c>
      <c r="H8" s="7">
        <v>1</v>
      </c>
      <c r="I8" s="6" t="s">
        <v>6</v>
      </c>
      <c r="J8" s="6" t="s">
        <v>20</v>
      </c>
      <c r="K8" s="6">
        <v>2.76</v>
      </c>
      <c r="L8" s="6"/>
      <c r="M8" s="7">
        <v>60</v>
      </c>
    </row>
    <row r="9" spans="1:14" x14ac:dyDescent="0.25">
      <c r="A9" s="7">
        <v>2</v>
      </c>
      <c r="B9" s="6" t="s">
        <v>46</v>
      </c>
      <c r="C9" s="6" t="s">
        <v>7</v>
      </c>
      <c r="D9" s="6">
        <v>2.36</v>
      </c>
      <c r="E9" s="6" t="s">
        <v>19</v>
      </c>
      <c r="F9" s="7">
        <v>9</v>
      </c>
      <c r="H9" s="7">
        <v>2</v>
      </c>
      <c r="I9" s="6" t="s">
        <v>39</v>
      </c>
      <c r="J9" s="6" t="s">
        <v>47</v>
      </c>
      <c r="K9" s="6">
        <v>1.56</v>
      </c>
      <c r="L9" s="6" t="s">
        <v>48</v>
      </c>
      <c r="M9" s="7">
        <v>120</v>
      </c>
    </row>
    <row r="10" spans="1:14" x14ac:dyDescent="0.25">
      <c r="A10" s="7">
        <v>1</v>
      </c>
      <c r="B10" s="6" t="s">
        <v>10</v>
      </c>
      <c r="C10" s="6" t="s">
        <v>26</v>
      </c>
      <c r="D10" s="6">
        <v>3.98</v>
      </c>
      <c r="E10" s="2"/>
      <c r="F10" s="7">
        <v>1</v>
      </c>
      <c r="H10" s="7">
        <v>1</v>
      </c>
      <c r="I10" s="6" t="s">
        <v>52</v>
      </c>
      <c r="J10" s="6"/>
      <c r="K10" s="6">
        <v>0.95</v>
      </c>
      <c r="L10" s="2"/>
      <c r="M10" s="7">
        <v>60</v>
      </c>
    </row>
    <row r="11" spans="1:14" x14ac:dyDescent="0.25">
      <c r="A11" s="7">
        <v>1</v>
      </c>
      <c r="B11" s="6" t="s">
        <v>11</v>
      </c>
      <c r="C11" s="6" t="s">
        <v>17</v>
      </c>
      <c r="D11" s="6">
        <v>2.98</v>
      </c>
      <c r="E11" s="2"/>
      <c r="F11" s="7">
        <v>5</v>
      </c>
      <c r="H11" s="7">
        <v>1</v>
      </c>
      <c r="I11" s="6" t="s">
        <v>11</v>
      </c>
      <c r="J11" s="6" t="s">
        <v>49</v>
      </c>
      <c r="K11" s="6">
        <v>2.97</v>
      </c>
      <c r="L11" s="2"/>
      <c r="M11" s="7">
        <v>60</v>
      </c>
    </row>
    <row r="12" spans="1:14" x14ac:dyDescent="0.25">
      <c r="A12" s="7">
        <v>2</v>
      </c>
      <c r="B12" s="6" t="s">
        <v>12</v>
      </c>
      <c r="C12" s="6" t="s">
        <v>22</v>
      </c>
      <c r="D12" s="6">
        <v>1.96</v>
      </c>
      <c r="E12" s="6" t="s">
        <v>23</v>
      </c>
      <c r="F12" s="7">
        <v>7</v>
      </c>
      <c r="H12" s="7">
        <v>2</v>
      </c>
      <c r="I12" s="6" t="s">
        <v>53</v>
      </c>
      <c r="J12" s="6"/>
      <c r="K12" s="6">
        <v>2.76</v>
      </c>
      <c r="L12" s="6">
        <v>1.38</v>
      </c>
      <c r="M12" s="7"/>
    </row>
    <row r="13" spans="1:14" x14ac:dyDescent="0.25">
      <c r="A13" s="7">
        <v>1</v>
      </c>
      <c r="B13" s="6" t="s">
        <v>13</v>
      </c>
      <c r="C13" s="6" t="s">
        <v>14</v>
      </c>
      <c r="D13" s="6">
        <v>5.48</v>
      </c>
      <c r="E13" s="2"/>
      <c r="F13" s="7">
        <v>57</v>
      </c>
      <c r="H13" s="7">
        <v>1</v>
      </c>
      <c r="I13" s="6" t="s">
        <v>13</v>
      </c>
      <c r="J13" s="6" t="s">
        <v>14</v>
      </c>
      <c r="K13" s="6">
        <v>5.48</v>
      </c>
      <c r="L13" s="2"/>
      <c r="M13" s="7">
        <v>57</v>
      </c>
    </row>
    <row r="14" spans="1:14" x14ac:dyDescent="0.25">
      <c r="A14" s="7">
        <v>1</v>
      </c>
      <c r="B14" s="6" t="s">
        <v>16</v>
      </c>
      <c r="C14" s="6" t="s">
        <v>15</v>
      </c>
      <c r="D14" s="6">
        <v>3.98</v>
      </c>
      <c r="E14" s="2"/>
      <c r="F14" s="7">
        <v>5</v>
      </c>
      <c r="H14" s="7">
        <v>1</v>
      </c>
      <c r="I14" s="6" t="s">
        <v>16</v>
      </c>
      <c r="J14" s="6" t="s">
        <v>41</v>
      </c>
      <c r="K14" s="6">
        <v>3.78</v>
      </c>
      <c r="L14" s="2"/>
      <c r="M14" s="7">
        <v>60</v>
      </c>
    </row>
    <row r="15" spans="1:14" x14ac:dyDescent="0.25">
      <c r="A15" s="7">
        <v>1</v>
      </c>
      <c r="B15" s="6" t="s">
        <v>24</v>
      </c>
      <c r="C15" s="6" t="s">
        <v>25</v>
      </c>
      <c r="D15" s="6">
        <v>2.98</v>
      </c>
      <c r="E15" s="2"/>
      <c r="F15" s="7">
        <v>6</v>
      </c>
      <c r="H15" s="7">
        <v>1</v>
      </c>
      <c r="I15" s="6" t="s">
        <v>24</v>
      </c>
      <c r="J15" s="6" t="s">
        <v>43</v>
      </c>
      <c r="K15" s="6">
        <v>2.95</v>
      </c>
      <c r="L15" s="2"/>
      <c r="M15" s="7"/>
    </row>
    <row r="16" spans="1:14" x14ac:dyDescent="0.25">
      <c r="A16" s="7">
        <v>1</v>
      </c>
      <c r="B16" s="6" t="s">
        <v>8</v>
      </c>
      <c r="C16" s="6" t="s">
        <v>9</v>
      </c>
      <c r="D16" s="6">
        <v>7.28</v>
      </c>
      <c r="E16" s="2"/>
      <c r="F16" s="7">
        <v>5</v>
      </c>
      <c r="H16" s="7">
        <v>1</v>
      </c>
      <c r="I16" s="6" t="s">
        <v>8</v>
      </c>
      <c r="J16" s="6" t="s">
        <v>9</v>
      </c>
      <c r="K16" s="6">
        <v>7.28</v>
      </c>
      <c r="L16" s="2"/>
      <c r="M16" s="7">
        <v>60</v>
      </c>
    </row>
    <row r="17" spans="1:13" x14ac:dyDescent="0.25">
      <c r="A17" s="1">
        <v>16</v>
      </c>
      <c r="B17" s="3"/>
      <c r="C17" s="3"/>
      <c r="D17" s="3">
        <f>SUM(D4:D16)</f>
        <v>49.699999999999996</v>
      </c>
      <c r="E17" s="8"/>
      <c r="F17" s="9"/>
      <c r="H17" s="1">
        <f>SUM(H4:H16)</f>
        <v>16</v>
      </c>
      <c r="I17" s="3"/>
      <c r="J17" s="3"/>
      <c r="K17" s="3">
        <f>SUM(K4:K16)</f>
        <v>46.39</v>
      </c>
      <c r="L17" s="8"/>
      <c r="M17" s="9"/>
    </row>
    <row r="19" spans="1:13" x14ac:dyDescent="0.25">
      <c r="B19" s="10" t="s">
        <v>64</v>
      </c>
      <c r="I19" s="10" t="s">
        <v>79</v>
      </c>
    </row>
    <row r="20" spans="1:13" x14ac:dyDescent="0.25">
      <c r="A20" s="1" t="s">
        <v>0</v>
      </c>
      <c r="B20" s="1" t="s">
        <v>1</v>
      </c>
      <c r="C20" s="1" t="s">
        <v>2</v>
      </c>
      <c r="D20" s="1" t="s">
        <v>3</v>
      </c>
      <c r="E20" s="1" t="s">
        <v>36</v>
      </c>
      <c r="F20" s="1" t="s">
        <v>34</v>
      </c>
      <c r="H20" s="1" t="s">
        <v>0</v>
      </c>
      <c r="I20" s="1" t="s">
        <v>1</v>
      </c>
      <c r="J20" s="1" t="s">
        <v>2</v>
      </c>
      <c r="K20" s="1" t="s">
        <v>3</v>
      </c>
      <c r="L20" s="1" t="s">
        <v>36</v>
      </c>
      <c r="M20" s="1" t="s">
        <v>38</v>
      </c>
    </row>
    <row r="21" spans="1:13" x14ac:dyDescent="0.25">
      <c r="A21" s="16">
        <v>1</v>
      </c>
      <c r="B21" s="14" t="s">
        <v>44</v>
      </c>
      <c r="C21" s="16" t="s">
        <v>72</v>
      </c>
      <c r="D21" s="17">
        <v>5.58</v>
      </c>
      <c r="E21" s="11"/>
      <c r="F21" s="16">
        <v>53</v>
      </c>
      <c r="H21" s="7">
        <v>3</v>
      </c>
      <c r="I21" s="6" t="s">
        <v>46</v>
      </c>
      <c r="J21" s="6"/>
      <c r="K21" s="6">
        <v>2.64</v>
      </c>
      <c r="L21" s="6">
        <v>0.88</v>
      </c>
      <c r="M21" s="7">
        <v>159</v>
      </c>
    </row>
    <row r="22" spans="1:13" x14ac:dyDescent="0.25">
      <c r="A22" s="19">
        <v>1</v>
      </c>
      <c r="B22" s="20" t="s">
        <v>65</v>
      </c>
      <c r="C22" s="20" t="s">
        <v>73</v>
      </c>
      <c r="D22" s="21">
        <v>2.2799999999999998</v>
      </c>
      <c r="E22" s="22"/>
      <c r="F22" s="19">
        <v>58</v>
      </c>
      <c r="H22" s="7">
        <v>2</v>
      </c>
      <c r="I22" s="6" t="s">
        <v>5</v>
      </c>
      <c r="J22" s="6"/>
      <c r="K22" s="6">
        <v>3.76</v>
      </c>
      <c r="L22" s="6">
        <v>1.88</v>
      </c>
      <c r="M22" s="7">
        <v>92</v>
      </c>
    </row>
    <row r="23" spans="1:13" x14ac:dyDescent="0.25">
      <c r="A23" s="19">
        <v>1</v>
      </c>
      <c r="B23" s="20" t="s">
        <v>5</v>
      </c>
      <c r="C23" s="20" t="s">
        <v>76</v>
      </c>
      <c r="D23" s="20">
        <v>2.2799999999999998</v>
      </c>
      <c r="E23" s="22"/>
      <c r="F23" s="19">
        <v>28</v>
      </c>
      <c r="H23" s="24">
        <v>2</v>
      </c>
      <c r="I23" s="6" t="s">
        <v>80</v>
      </c>
      <c r="J23" s="6"/>
      <c r="K23" s="6">
        <v>5.58</v>
      </c>
      <c r="L23" s="2">
        <v>5.58</v>
      </c>
      <c r="M23" s="7">
        <v>62</v>
      </c>
    </row>
    <row r="24" spans="1:13" x14ac:dyDescent="0.25">
      <c r="A24" s="19">
        <v>1</v>
      </c>
      <c r="B24" s="20" t="s">
        <v>51</v>
      </c>
      <c r="C24" s="20"/>
      <c r="D24" s="21">
        <v>1.98</v>
      </c>
      <c r="E24" s="22"/>
      <c r="F24" s="19">
        <v>72</v>
      </c>
      <c r="H24" s="7">
        <v>3</v>
      </c>
      <c r="I24" s="6" t="s">
        <v>81</v>
      </c>
      <c r="J24" s="6"/>
      <c r="K24" s="6"/>
      <c r="L24" s="6"/>
      <c r="M24" s="7"/>
    </row>
    <row r="25" spans="1:13" x14ac:dyDescent="0.25">
      <c r="A25" s="7">
        <v>1</v>
      </c>
      <c r="B25" s="15" t="s">
        <v>4</v>
      </c>
      <c r="C25" s="6" t="s">
        <v>74</v>
      </c>
      <c r="D25" s="18">
        <v>2.98</v>
      </c>
      <c r="E25" s="2"/>
      <c r="F25" s="7">
        <v>50</v>
      </c>
      <c r="H25" s="7">
        <v>1</v>
      </c>
      <c r="I25" s="6" t="s">
        <v>43</v>
      </c>
      <c r="J25" s="6"/>
      <c r="K25" s="6"/>
      <c r="L25" s="6"/>
      <c r="M25" s="7"/>
    </row>
    <row r="26" spans="1:13" x14ac:dyDescent="0.25">
      <c r="A26" s="19">
        <v>2</v>
      </c>
      <c r="B26" s="20" t="s">
        <v>52</v>
      </c>
      <c r="C26" s="20" t="s">
        <v>69</v>
      </c>
      <c r="D26" s="20">
        <v>1.76</v>
      </c>
      <c r="E26" s="20">
        <v>0.88</v>
      </c>
      <c r="F26" s="19">
        <v>120</v>
      </c>
      <c r="H26" s="7">
        <v>1</v>
      </c>
      <c r="I26" s="6" t="s">
        <v>82</v>
      </c>
      <c r="J26" s="6"/>
      <c r="K26" s="6"/>
      <c r="L26" s="6"/>
      <c r="M26" s="7"/>
    </row>
    <row r="27" spans="1:13" x14ac:dyDescent="0.25">
      <c r="A27" s="19">
        <v>1</v>
      </c>
      <c r="B27" s="20" t="s">
        <v>52</v>
      </c>
      <c r="C27" s="20" t="s">
        <v>75</v>
      </c>
      <c r="D27" s="20">
        <v>1.39</v>
      </c>
      <c r="E27" s="20"/>
      <c r="F27" s="19">
        <v>30</v>
      </c>
      <c r="H27" s="7">
        <v>1</v>
      </c>
      <c r="I27" s="6" t="s">
        <v>8</v>
      </c>
      <c r="J27" s="6"/>
      <c r="K27" s="6"/>
      <c r="L27" s="2"/>
      <c r="M27" s="7"/>
    </row>
    <row r="28" spans="1:13" x14ac:dyDescent="0.25">
      <c r="A28" s="7">
        <v>1</v>
      </c>
      <c r="B28" s="6" t="s">
        <v>11</v>
      </c>
      <c r="C28" s="6"/>
      <c r="D28" s="6">
        <v>3.98</v>
      </c>
      <c r="E28" s="6"/>
      <c r="F28" s="7">
        <v>52</v>
      </c>
      <c r="H28" s="7">
        <v>1</v>
      </c>
      <c r="I28" s="6" t="s">
        <v>83</v>
      </c>
      <c r="J28" s="6"/>
      <c r="K28" s="6"/>
      <c r="L28" s="2"/>
      <c r="M28" s="7"/>
    </row>
    <row r="29" spans="1:13" x14ac:dyDescent="0.25">
      <c r="A29" s="7">
        <v>2</v>
      </c>
      <c r="B29" s="6" t="s">
        <v>53</v>
      </c>
      <c r="C29" s="6"/>
      <c r="D29" s="6">
        <v>2.76</v>
      </c>
      <c r="E29" s="6">
        <v>1.38</v>
      </c>
      <c r="F29" s="7">
        <v>93</v>
      </c>
      <c r="H29" s="7">
        <v>1</v>
      </c>
      <c r="I29" s="6" t="s">
        <v>84</v>
      </c>
      <c r="J29" s="6"/>
      <c r="K29" s="6"/>
      <c r="L29" s="6"/>
      <c r="M29" s="7"/>
    </row>
    <row r="30" spans="1:13" x14ac:dyDescent="0.25">
      <c r="A30" s="7">
        <v>1</v>
      </c>
      <c r="B30" s="6" t="s">
        <v>13</v>
      </c>
      <c r="C30" s="6"/>
      <c r="D30" s="6">
        <v>4.9800000000000004</v>
      </c>
      <c r="E30" s="6"/>
      <c r="F30" s="7">
        <v>48</v>
      </c>
      <c r="H30" s="7"/>
      <c r="I30" s="6"/>
      <c r="J30" s="6"/>
      <c r="K30" s="6"/>
      <c r="L30" s="2"/>
      <c r="M30" s="7"/>
    </row>
    <row r="31" spans="1:13" x14ac:dyDescent="0.25">
      <c r="A31" s="7">
        <v>1</v>
      </c>
      <c r="B31" s="6" t="s">
        <v>43</v>
      </c>
      <c r="C31" s="2"/>
      <c r="D31" s="6">
        <v>3.78</v>
      </c>
      <c r="E31" s="2"/>
      <c r="F31" s="7">
        <v>45</v>
      </c>
      <c r="H31" s="7"/>
      <c r="I31" s="6"/>
      <c r="J31" s="6"/>
      <c r="K31" s="6"/>
      <c r="L31" s="2"/>
      <c r="M31" s="7"/>
    </row>
    <row r="32" spans="1:13" x14ac:dyDescent="0.25">
      <c r="A32" s="7">
        <v>1</v>
      </c>
      <c r="B32" s="6" t="s">
        <v>6</v>
      </c>
      <c r="C32" s="6"/>
      <c r="D32" s="6">
        <v>2.75</v>
      </c>
      <c r="E32" s="2"/>
      <c r="F32" s="7">
        <v>50</v>
      </c>
      <c r="H32" s="7"/>
      <c r="I32" s="6"/>
      <c r="J32" s="6"/>
      <c r="K32" s="6"/>
      <c r="L32" s="2"/>
      <c r="M32" s="7"/>
    </row>
    <row r="33" spans="1:13" x14ac:dyDescent="0.25">
      <c r="A33" s="7">
        <v>1</v>
      </c>
      <c r="B33" s="6" t="s">
        <v>66</v>
      </c>
      <c r="C33" s="6"/>
      <c r="D33" s="6">
        <v>7.28</v>
      </c>
      <c r="E33" s="2"/>
      <c r="F33" s="7">
        <v>48</v>
      </c>
      <c r="H33" s="7"/>
      <c r="I33" s="6"/>
      <c r="J33" s="6"/>
      <c r="K33" s="6"/>
      <c r="L33" s="2"/>
      <c r="M33" s="7"/>
    </row>
    <row r="34" spans="1:13" x14ac:dyDescent="0.25">
      <c r="A34" s="1">
        <f>SUM(A21:A33)</f>
        <v>15</v>
      </c>
      <c r="B34" s="8"/>
      <c r="C34" s="8"/>
      <c r="D34" s="3">
        <f>SUM(D21:D33)</f>
        <v>43.78</v>
      </c>
      <c r="E34" s="8"/>
      <c r="F34" s="8"/>
      <c r="H34" s="1">
        <f>SUM(H21:H33)</f>
        <v>15</v>
      </c>
      <c r="I34" s="3"/>
      <c r="J34" s="3"/>
      <c r="K34" s="3">
        <f>SUM(K21:K33)</f>
        <v>11.98</v>
      </c>
      <c r="L34" s="8"/>
      <c r="M34" s="9"/>
    </row>
    <row r="36" spans="1:13" x14ac:dyDescent="0.25">
      <c r="I36" t="s">
        <v>85</v>
      </c>
      <c r="J36">
        <v>180.52</v>
      </c>
    </row>
    <row r="37" spans="1:13" x14ac:dyDescent="0.25">
      <c r="I37" t="s">
        <v>86</v>
      </c>
      <c r="J37" s="4">
        <v>249.6</v>
      </c>
    </row>
  </sheetData>
  <pageMargins left="0.511811024" right="0.511811024" top="0.78740157499999996" bottom="0.78740157499999996" header="0.31496062000000002" footer="0.31496062000000002"/>
  <pageSetup paperSize="9" scale="66" fitToHeight="0" orientation="portrait" horizontalDpi="0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31A2C4-4B3C-45D1-BC62-1BD8F7A05F9B}">
  <dimension ref="A1:N15"/>
  <sheetViews>
    <sheetView tabSelected="1" workbookViewId="0">
      <selection activeCell="P8" sqref="P8"/>
    </sheetView>
  </sheetViews>
  <sheetFormatPr defaultRowHeight="15" x14ac:dyDescent="0.25"/>
  <cols>
    <col min="1" max="1" width="10.5703125" customWidth="1"/>
    <col min="2" max="2" width="12.7109375" customWidth="1"/>
    <col min="3" max="3" width="11.28515625" customWidth="1"/>
    <col min="7" max="7" width="5.7109375" customWidth="1"/>
    <col min="8" max="8" width="10.85546875" customWidth="1"/>
    <col min="9" max="9" width="12.5703125" customWidth="1"/>
    <col min="14" max="14" width="10.85546875" customWidth="1"/>
  </cols>
  <sheetData>
    <row r="1" spans="1:14" x14ac:dyDescent="0.25">
      <c r="A1" s="23"/>
      <c r="B1" s="23"/>
    </row>
    <row r="2" spans="1:14" x14ac:dyDescent="0.25">
      <c r="B2" s="10" t="s">
        <v>87</v>
      </c>
      <c r="I2" s="10" t="s">
        <v>89</v>
      </c>
    </row>
    <row r="3" spans="1:14" x14ac:dyDescent="0.25">
      <c r="A3" s="1" t="s">
        <v>0</v>
      </c>
      <c r="B3" s="1" t="s">
        <v>1</v>
      </c>
      <c r="C3" s="1" t="s">
        <v>2</v>
      </c>
      <c r="D3" s="1" t="s">
        <v>3</v>
      </c>
      <c r="E3" s="1" t="s">
        <v>36</v>
      </c>
      <c r="F3" s="1" t="s">
        <v>34</v>
      </c>
      <c r="H3" s="1" t="s">
        <v>0</v>
      </c>
      <c r="I3" s="1" t="s">
        <v>1</v>
      </c>
      <c r="J3" s="1" t="s">
        <v>2</v>
      </c>
      <c r="K3" s="1" t="s">
        <v>3</v>
      </c>
      <c r="L3" s="1" t="s">
        <v>36</v>
      </c>
      <c r="M3" s="1" t="s">
        <v>34</v>
      </c>
    </row>
    <row r="4" spans="1:14" x14ac:dyDescent="0.25">
      <c r="A4" s="16">
        <v>2</v>
      </c>
      <c r="B4" s="14" t="s">
        <v>44</v>
      </c>
      <c r="C4" s="16"/>
      <c r="D4" s="17">
        <v>11.16</v>
      </c>
      <c r="E4" s="17">
        <v>5.58</v>
      </c>
      <c r="F4" s="16">
        <v>22</v>
      </c>
      <c r="G4" s="15"/>
      <c r="H4" s="16"/>
      <c r="I4" s="14" t="s">
        <v>44</v>
      </c>
      <c r="J4" s="16"/>
      <c r="K4" s="17"/>
      <c r="L4" s="17"/>
      <c r="M4" s="16">
        <v>18</v>
      </c>
    </row>
    <row r="5" spans="1:14" x14ac:dyDescent="0.25">
      <c r="A5" s="7">
        <v>2</v>
      </c>
      <c r="B5" s="6" t="s">
        <v>65</v>
      </c>
      <c r="C5" s="6" t="s">
        <v>77</v>
      </c>
      <c r="D5" s="18">
        <v>3.76</v>
      </c>
      <c r="E5" s="6">
        <v>1.88</v>
      </c>
      <c r="F5" s="7">
        <v>92</v>
      </c>
      <c r="G5" s="15"/>
      <c r="H5" s="7"/>
      <c r="I5" s="6" t="s">
        <v>65</v>
      </c>
      <c r="J5" s="6"/>
      <c r="K5" s="18"/>
      <c r="L5" s="6"/>
      <c r="M5" s="7">
        <v>20</v>
      </c>
    </row>
    <row r="6" spans="1:14" x14ac:dyDescent="0.25">
      <c r="A6" s="7">
        <v>3</v>
      </c>
      <c r="B6" s="6" t="s">
        <v>52</v>
      </c>
      <c r="C6" s="6" t="s">
        <v>78</v>
      </c>
      <c r="D6" s="6">
        <v>2.64</v>
      </c>
      <c r="E6" s="6">
        <v>0.88</v>
      </c>
      <c r="F6" s="7">
        <v>129</v>
      </c>
      <c r="G6" s="15"/>
      <c r="H6" s="7"/>
      <c r="I6" s="6" t="s">
        <v>52</v>
      </c>
      <c r="J6" s="6"/>
      <c r="K6" s="6"/>
      <c r="L6" s="6"/>
      <c r="M6" s="7">
        <v>10</v>
      </c>
    </row>
    <row r="7" spans="1:14" x14ac:dyDescent="0.25">
      <c r="A7" s="7">
        <v>1</v>
      </c>
      <c r="B7" s="6" t="s">
        <v>13</v>
      </c>
      <c r="C7" s="6" t="s">
        <v>88</v>
      </c>
      <c r="D7" s="6">
        <v>4.9800000000000004</v>
      </c>
      <c r="E7" s="6"/>
      <c r="F7" s="7">
        <v>44</v>
      </c>
      <c r="G7" s="15"/>
      <c r="H7" s="7"/>
      <c r="I7" s="6" t="s">
        <v>13</v>
      </c>
      <c r="J7" s="6"/>
      <c r="K7" s="6"/>
      <c r="L7" s="6"/>
      <c r="M7" s="7">
        <v>8</v>
      </c>
    </row>
    <row r="8" spans="1:14" x14ac:dyDescent="0.25">
      <c r="A8" s="7">
        <v>1</v>
      </c>
      <c r="B8" s="6" t="s">
        <v>43</v>
      </c>
      <c r="C8" s="6"/>
      <c r="D8" s="6">
        <v>3.78</v>
      </c>
      <c r="E8" s="6"/>
      <c r="F8" s="7">
        <v>44</v>
      </c>
      <c r="G8" s="15"/>
      <c r="H8" s="7"/>
      <c r="I8" s="6" t="s">
        <v>43</v>
      </c>
      <c r="J8" s="6"/>
      <c r="K8" s="6"/>
      <c r="L8" s="6"/>
      <c r="M8" s="7">
        <v>8</v>
      </c>
    </row>
    <row r="9" spans="1:14" x14ac:dyDescent="0.25">
      <c r="A9" s="7">
        <v>3</v>
      </c>
      <c r="B9" s="6" t="s">
        <v>53</v>
      </c>
      <c r="C9" s="6"/>
      <c r="D9" s="6">
        <v>4.1399999999999997</v>
      </c>
      <c r="E9" s="6"/>
      <c r="F9" s="7">
        <v>133</v>
      </c>
      <c r="G9" s="15"/>
      <c r="H9" s="7"/>
      <c r="I9" s="6" t="s">
        <v>53</v>
      </c>
      <c r="J9" s="6"/>
      <c r="K9" s="6"/>
      <c r="L9" s="6"/>
      <c r="M9" s="7">
        <v>21</v>
      </c>
    </row>
    <row r="10" spans="1:14" x14ac:dyDescent="0.25">
      <c r="A10" s="25">
        <v>1</v>
      </c>
      <c r="B10" s="6" t="s">
        <v>4</v>
      </c>
      <c r="C10" s="6"/>
      <c r="D10" s="18">
        <v>3.28</v>
      </c>
      <c r="E10" s="6"/>
      <c r="F10" s="7">
        <v>50</v>
      </c>
      <c r="G10" s="15"/>
      <c r="H10" s="25"/>
      <c r="I10" s="6" t="s">
        <v>4</v>
      </c>
      <c r="J10" s="6"/>
      <c r="K10" s="18"/>
      <c r="L10" s="6"/>
      <c r="M10" s="7">
        <v>13</v>
      </c>
    </row>
    <row r="11" spans="1:14" x14ac:dyDescent="0.25">
      <c r="A11" s="7">
        <v>1</v>
      </c>
      <c r="B11" s="6" t="s">
        <v>6</v>
      </c>
      <c r="C11" s="6"/>
      <c r="D11" s="6">
        <v>2.78</v>
      </c>
      <c r="E11" s="6"/>
      <c r="F11" s="7">
        <v>50</v>
      </c>
      <c r="G11" s="15"/>
      <c r="H11" s="7"/>
      <c r="I11" s="6" t="s">
        <v>6</v>
      </c>
      <c r="J11" s="6"/>
      <c r="K11" s="6">
        <v>2.78</v>
      </c>
      <c r="L11" s="6"/>
      <c r="M11" s="7">
        <v>50</v>
      </c>
      <c r="N11" s="26" t="s">
        <v>90</v>
      </c>
    </row>
    <row r="12" spans="1:14" x14ac:dyDescent="0.25">
      <c r="A12" s="7">
        <v>1</v>
      </c>
      <c r="B12" s="6" t="s">
        <v>66</v>
      </c>
      <c r="C12" s="6"/>
      <c r="D12" s="6">
        <v>8.98</v>
      </c>
      <c r="E12" s="6"/>
      <c r="F12" s="7">
        <v>43</v>
      </c>
      <c r="H12" s="7"/>
      <c r="I12" s="6" t="s">
        <v>66</v>
      </c>
      <c r="J12" s="6"/>
      <c r="K12" s="6">
        <v>7.49</v>
      </c>
      <c r="L12" s="6"/>
      <c r="M12" s="7">
        <v>50</v>
      </c>
      <c r="N12" s="26" t="s">
        <v>90</v>
      </c>
    </row>
    <row r="13" spans="1:14" x14ac:dyDescent="0.25">
      <c r="A13" s="1">
        <f>SUM(A4:A12)</f>
        <v>15</v>
      </c>
      <c r="B13" s="8"/>
      <c r="C13" s="8"/>
      <c r="D13" s="3">
        <f>SUM(D4:D12)</f>
        <v>45.5</v>
      </c>
      <c r="E13" s="8"/>
      <c r="F13" s="8"/>
      <c r="H13" s="1">
        <f>SUM(H4:H12)</f>
        <v>0</v>
      </c>
      <c r="I13" s="8"/>
      <c r="J13" s="8"/>
      <c r="K13" s="3">
        <f>SUM(K4:K12)</f>
        <v>10.27</v>
      </c>
      <c r="L13" s="8"/>
      <c r="M13" s="8"/>
    </row>
    <row r="15" spans="1:14" x14ac:dyDescent="0.25">
      <c r="B15" s="15"/>
    </row>
  </sheetData>
  <pageMargins left="0.511811024" right="0.511811024" top="0.78740157499999996" bottom="0.78740157499999996" header="0.31496062000000002" footer="0.31496062000000002"/>
  <pageSetup paperSize="9"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3</vt:i4>
      </vt:variant>
    </vt:vector>
  </HeadingPairs>
  <TitlesOfParts>
    <vt:vector size="3" baseType="lpstr">
      <vt:lpstr>1° trimestre</vt:lpstr>
      <vt:lpstr>Planilha1</vt:lpstr>
      <vt:lpstr>2° trimestre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Giselle</dc:creator>
  <cp:lastModifiedBy>Giselle</cp:lastModifiedBy>
  <cp:lastPrinted>2026-05-15T17:38:37Z</cp:lastPrinted>
  <dcterms:created xsi:type="dcterms:W3CDTF">2026-02-23T11:34:07Z</dcterms:created>
  <dcterms:modified xsi:type="dcterms:W3CDTF">2026-06-10T13:16:48Z</dcterms:modified>
</cp:coreProperties>
</file>